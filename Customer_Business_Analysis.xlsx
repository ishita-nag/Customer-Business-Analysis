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t\Documents\Customer-Business-Analysis\"/>
    </mc:Choice>
  </mc:AlternateContent>
  <xr:revisionPtr revIDLastSave="0" documentId="13_ncr:1_{EE3A330F-CCAD-453F-BB7C-444F37763EA2}" xr6:coauthVersionLast="47" xr6:coauthVersionMax="47" xr10:uidLastSave="{00000000-0000-0000-0000-000000000000}"/>
  <bookViews>
    <workbookView xWindow="-96" yWindow="0" windowWidth="11712" windowHeight="12336" firstSheet="1" activeTab="3" xr2:uid="{F1223D9D-EC31-4BBF-8218-8536B200EBD2}"/>
  </bookViews>
  <sheets>
    <sheet name="Raw Data" sheetId="1" r:id="rId1"/>
    <sheet name="Analysis" sheetId="2" r:id="rId2"/>
    <sheet name="Dashboard" sheetId="3" r:id="rId3"/>
    <sheet name="Insight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8" i="4"/>
  <c r="B7" i="4"/>
  <c r="B6" i="4"/>
  <c r="B5" i="4"/>
  <c r="A4" i="3"/>
  <c r="D4" i="3"/>
  <c r="C4" i="3"/>
  <c r="E4" i="3"/>
  <c r="B4" i="3"/>
  <c r="B70" i="2"/>
  <c r="B64" i="2"/>
  <c r="B65" i="2"/>
  <c r="B66" i="2"/>
  <c r="B67" i="2"/>
  <c r="B68" i="2"/>
  <c r="B69" i="2"/>
  <c r="B63" i="2"/>
  <c r="B62" i="2"/>
  <c r="B58" i="2"/>
  <c r="B57" i="2"/>
  <c r="B53" i="2"/>
  <c r="B51" i="2"/>
  <c r="B50" i="2"/>
  <c r="B46" i="2"/>
  <c r="B42" i="2"/>
  <c r="B43" i="2"/>
  <c r="B44" i="2"/>
  <c r="B41" i="2"/>
  <c r="B37" i="2"/>
  <c r="B33" i="2"/>
  <c r="B34" i="2"/>
  <c r="B35" i="2"/>
  <c r="B32" i="2"/>
  <c r="B28" i="2"/>
  <c r="B24" i="2"/>
  <c r="B25" i="2"/>
  <c r="B26" i="2"/>
  <c r="B23" i="2"/>
  <c r="B19" i="2"/>
  <c r="B15" i="2"/>
  <c r="B16" i="2"/>
  <c r="B17" i="2"/>
  <c r="B14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<sst xmlns="http://schemas.openxmlformats.org/spreadsheetml/2006/main" count="446" uniqueCount="181">
  <si>
    <t>Customer_ID</t>
  </si>
  <si>
    <t>Order_ID</t>
  </si>
  <si>
    <t>Order_Date</t>
  </si>
  <si>
    <t>Customer_Type</t>
  </si>
  <si>
    <t>Age_Group</t>
  </si>
  <si>
    <t>Region</t>
  </si>
  <si>
    <t>Product_Category</t>
  </si>
  <si>
    <t>Quantity</t>
  </si>
  <si>
    <t>Revenue</t>
  </si>
  <si>
    <t>Cost</t>
  </si>
  <si>
    <t>Profit</t>
  </si>
  <si>
    <t>Payment_Method</t>
  </si>
  <si>
    <t>Customer_Rating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</si>
  <si>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</si>
  <si>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</si>
  <si>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</si>
  <si>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</si>
  <si>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</si>
  <si>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</si>
  <si>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</si>
  <si>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</si>
  <si>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</si>
  <si>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</si>
  <si>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</si>
  <si>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</si>
  <si>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</si>
  <si>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</si>
  <si>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</si>
  <si>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</si>
  <si>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</si>
  <si>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</si>
  <si>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</si>
  <si>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</si>
  <si>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</si>
  <si>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</si>
  <si>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</si>
  <si>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</si>
  <si>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</si>
  <si>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</si>
  <si>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</si>
  <si>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</si>
  <si>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</si>
  <si>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</si>
  <si>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</si>
  <si>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</si>
  <si>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</si>
  <si>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</si>
  <si>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</si>
  <si>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</si>
  <si>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</si>
  <si>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</si>
  <si>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</si>
  <si>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</si>
  <si>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</si>
  <si>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</si>
  <si>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</si>
  <si>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</si>
  <si>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</si>
  <si>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</si>
  <si>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</si>
  <si>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</si>
  <si>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</si>
  <si>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</si>
  <si>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</si>
  <si>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</si>
  <si>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</si>
  <si>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</si>
  <si>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</si>
  <si>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</si>
  <si>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</si>
  <si>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</si>
  <si>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</si>
  <si>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</si>
  <si>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</si>
  <si>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</si>
  <si>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</si>
  <si>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</si>
  <si>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</si>
  <si>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</si>
  <si>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</si>
  <si>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</si>
  <si>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</si>
  <si>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</si>
  <si>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</si>
  <si>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</si>
  <si>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</si>
  <si>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</si>
  <si>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</si>
  <si>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</si>
  <si>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</si>
  <si>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</si>
  <si>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</si>
  <si>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</si>
  <si>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</si>
  <si>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</si>
  <si>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</si>
  <si>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</si>
  <si>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</si>
  <si>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</si>
  <si>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</si>
  <si>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</si>
  <si>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</si>
  <si>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</si>
  <si>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</si>
  <si>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</si>
  <si>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</si>
  <si>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</si>
  <si>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</si>
  <si>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</si>
  <si>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</si>
  <si>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</si>
  <si>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</si>
  <si>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</si>
  <si>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Returning</t>
  </si>
  <si>
    <t>18-25</t>
  </si>
  <si>
    <t xml:space="preserve">New </t>
  </si>
  <si>
    <t>26-35</t>
  </si>
  <si>
    <t>36-45</t>
  </si>
  <si>
    <t>46-55</t>
  </si>
  <si>
    <t>East</t>
  </si>
  <si>
    <t>West</t>
  </si>
  <si>
    <t>North</t>
  </si>
  <si>
    <t>South</t>
  </si>
  <si>
    <t>Electronics</t>
  </si>
  <si>
    <t>Home &amp; Kitchen</t>
  </si>
  <si>
    <t>North Personal Care</t>
  </si>
  <si>
    <t>Accessories</t>
  </si>
  <si>
    <t>Personal Care</t>
  </si>
  <si>
    <t xml:space="preserve">Electronics	</t>
  </si>
  <si>
    <t>UPI</t>
  </si>
  <si>
    <t>Credit Card</t>
  </si>
  <si>
    <t xml:space="preserve">UPI	</t>
  </si>
  <si>
    <t>Debit Card</t>
  </si>
  <si>
    <t>Cash</t>
  </si>
  <si>
    <t>Customer &amp; Business Performance Analysis</t>
  </si>
  <si>
    <t>Total Customers</t>
  </si>
  <si>
    <t>Total Orders</t>
  </si>
  <si>
    <t>Total Revenue</t>
  </si>
  <si>
    <t>Total Profit</t>
  </si>
  <si>
    <t>Total Quantity</t>
  </si>
  <si>
    <t>Profit Margin</t>
  </si>
  <si>
    <t>Average Customer Rating</t>
  </si>
  <si>
    <t>Business Performance Analysis</t>
  </si>
  <si>
    <t>Revenue by Product Category</t>
  </si>
  <si>
    <t>Product Category</t>
  </si>
  <si>
    <t>Highest Revenue Category</t>
  </si>
  <si>
    <t>Revenue by Region</t>
  </si>
  <si>
    <t>Highest Revenue Region</t>
  </si>
  <si>
    <t>Profit by Product Category</t>
  </si>
  <si>
    <t>Highest Profit Category</t>
  </si>
  <si>
    <t>Profit by Region</t>
  </si>
  <si>
    <t>Highest Profit Region</t>
  </si>
  <si>
    <t>Revenue by Customer Type</t>
  </si>
  <si>
    <t>Customer Type</t>
  </si>
  <si>
    <t>New</t>
  </si>
  <si>
    <t>Higher Revenue Customer Type</t>
  </si>
  <si>
    <t>Average Rating by Customer Type</t>
  </si>
  <si>
    <t>Average Rating</t>
  </si>
  <si>
    <t>Monthly Revenue Analysis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</si>
  <si>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</si>
  <si>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</si>
  <si>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</si>
  <si>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</si>
  <si>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</si>
  <si>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</si>
  <si>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</si>
  <si>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</si>
  <si>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</si>
  <si>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</si>
  <si>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Customer &amp; Business Performance Dashboard</t>
  </si>
  <si>
    <t>Customer &amp;Business Performance Insights</t>
  </si>
  <si>
    <t>Key Business Insights</t>
  </si>
  <si>
    <t>Highest Revenue Product Category</t>
  </si>
  <si>
    <t>Highest Profit Product Category</t>
  </si>
  <si>
    <t xml:space="preserve">Highest Revenue Region </t>
  </si>
  <si>
    <t>Business Recommendations</t>
  </si>
  <si>
    <t>Focus on high-performing product categories</t>
  </si>
  <si>
    <t>Analyze regional performance to identify opportunities</t>
  </si>
  <si>
    <t>Monitor monthly revenue trends for business planning</t>
  </si>
  <si>
    <t>Track customer ratings to maintain service quality</t>
  </si>
  <si>
    <t>Compare customer segments to understand revenue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</si>
</sst>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0" fontId="2" fillId="0" borderId="0" xfId="0" applyFont="1"/>
    <xf numFmtId="9" fontId="0" fillId="0" borderId="0" xfId="1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Analysis!$B$61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Analysis!$A$62:$A$70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Analysis!$B$62:$B$70</c:f>
              <c:numCache>
                <c:formatCode>General</c:formatCode>
                <c:ptCount val="9"/>
                <c:pt idx="0">
                  <c:v>29750</c:v>
                </c:pt>
                <c:pt idx="1">
                  <c:v>31600</c:v>
                </c:pt>
                <c:pt idx="2">
                  <c:v>43550</c:v>
                </c:pt>
                <c:pt idx="3">
                  <c:v>27250</c:v>
                </c:pt>
                <c:pt idx="4">
                  <c:v>25250</c:v>
                </c:pt>
                <c:pt idx="5">
                  <c:v>40450</c:v>
                </c:pt>
                <c:pt idx="6">
                  <c:v>37600</c:v>
                </c:pt>
                <c:pt idx="7">
                  <c:v>30800</c:v>
                </c:pt>
                <c:pt idx="8">
                  <c:v>28350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B-418A-8E43-CEA2E4C7D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00383"/>
        <c:axId val="240702303"/>
      </c:lineChart>
      <c:catAx>
        <c:axId val="2407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02303"/>
        <c:crosses val="autoZero"/>
        <c:auto val="1"/>
        <c:lblAlgn val="ctr"/>
        <c:lblOffset val="100"/>
        <c:noMultiLvlLbl val="0"/>
      </c:catAx>
      <c:valAx>
        <c:axId val="24070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8"/>
          <c:y val="0.17171296296296298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Analysis!$A$14:$A$17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Personal Care</c:v>
                </c:pt>
                <c:pt idx="3">
                  <c:v>Accessories</c:v>
                </c:pt>
              </c:strCache>
            </c:strRef>
          </c:cat>
          <c:val>
            <c:numRef>
              <c:f>Analysis!$B$14:$B$17</c:f>
              <c:numCache>
                <c:formatCode>General</c:formatCode>
                <c:ptCount val="4"/>
                <c:pt idx="0">
                  <c:v>122100</c:v>
                </c:pt>
                <c:pt idx="1">
                  <c:v>73700</c:v>
                </c:pt>
                <c:pt idx="2">
                  <c:v>39150</c:v>
                </c:pt>
                <c:pt idx="3">
                  <c:v>48150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F11-AD04-E45F9AA28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536207"/>
        <c:axId val="888536687"/>
      </c:barChart>
      <c:catAx>
        <c:axId val="88853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36687"/>
        <c:crosses val="autoZero"/>
        <c:auto val="1"/>
        <c:lblAlgn val="ctr"/>
        <c:lblOffset val="100"/>
        <c:noMultiLvlLbl val="0"/>
      </c:catAx>
      <c:valAx>
        <c:axId val="8885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3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Analysis!$A$32:$A$35</c:f>
              <c:strCache>
                <c:ptCount val="4"/>
                <c:pt idx="0">
                  <c:v>Electronics</c:v>
                </c:pt>
                <c:pt idx="1">
                  <c:v>Home &amp; Kitchen</c:v>
                </c:pt>
                <c:pt idx="2">
                  <c:v>Personal Care</c:v>
                </c:pt>
                <c:pt idx="3">
                  <c:v>Accessories</c:v>
                </c:pt>
              </c:strCache>
            </c:strRef>
          </c:cat>
          <c:val>
            <c:numRef>
              <c:f>Analysis!$B$32:$B$35</c:f>
              <c:numCache>
                <c:formatCode>General</c:formatCode>
                <c:ptCount val="4"/>
                <c:pt idx="0">
                  <c:v>30600</c:v>
                </c:pt>
                <c:pt idx="1">
                  <c:v>22800</c:v>
                </c:pt>
                <c:pt idx="2">
                  <c:v>13050</c:v>
                </c:pt>
                <c:pt idx="3">
                  <c:v>15100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A-4BE0-BA2E-9A4553FFD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99167"/>
        <c:axId val="997404831"/>
      </c:barChart>
      <c:catAx>
        <c:axId val="99149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404831"/>
        <c:crosses val="autoZero"/>
        <c:auto val="1"/>
        <c:lblAlgn val="ctr"/>
        <c:lblOffset val="100"/>
        <c:noMultiLvlLbl val="0"/>
      </c:catAx>
      <c:valAx>
        <c:axId val="99740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9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Analysis!$A$23:$A$26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Analysis!$B$23:$B$26</c:f>
              <c:numCache>
                <c:formatCode>General</c:formatCode>
                <c:ptCount val="4"/>
                <c:pt idx="0">
                  <c:v>67150</c:v>
                </c:pt>
                <c:pt idx="1">
                  <c:v>59950</c:v>
                </c:pt>
                <c:pt idx="2">
                  <c:v>76450</c:v>
                </c:pt>
                <c:pt idx="3">
                  <c:v>91050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1-4AC6-8D84-32EEADBD2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199631"/>
        <c:axId val="997198671"/>
      </c:barChart>
      <c:catAx>
        <c:axId val="9971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98671"/>
        <c:crosses val="autoZero"/>
        <c:auto val="1"/>
        <c:lblAlgn val="ctr"/>
        <c:lblOffset val="100"/>
        <c:noMultiLvlLbl val="0"/>
      </c:catAx>
      <c:valAx>
        <c:axId val="9971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9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Analysis!$A$41:$A$44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Analysis!$B$41:$B$44</c:f>
              <c:numCache>
                <c:formatCode>General</c:formatCode>
                <c:ptCount val="4"/>
                <c:pt idx="0">
                  <c:v>19800</c:v>
                </c:pt>
                <c:pt idx="1">
                  <c:v>17700</c:v>
                </c:pt>
                <c:pt idx="2">
                  <c:v>21450</c:v>
                </c:pt>
                <c:pt idx="3">
                  <c:v>25700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F-4E2C-94FF-F72027F79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545632"/>
        <c:axId val="1012529312"/>
      </c:barChart>
      <c:catAx>
        <c:axId val="10125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29312"/>
        <c:crosses val="autoZero"/>
        <c:auto val="1"/>
        <c:lblAlgn val="ctr"/>
        <c:lblOffset val="100"/>
        <c:noMultiLvlLbl val="0"/>
      </c:catAx>
      <c:valAx>
        <c:axId val="10125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Analysis!$A$50:$A$51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Analysis!$B$50:$B$51</c:f>
              <c:numCache>
                <c:formatCode>General</c:formatCode>
                <c:ptCount val="2"/>
                <c:pt idx="0">
                  <c:v>164300</c:v>
                </c:pt>
                <c:pt idx="1">
                  <c:v>130300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B-47BD-9F1B-C5B422BA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543232"/>
        <c:axId val="1012546592"/>
      </c:barChart>
      <c:catAx>
        <c:axId val="10125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46592"/>
        <c:crosses val="autoZero"/>
        <c:auto val="1"/>
        <c:lblAlgn val="ctr"/>
        <c:lblOffset val="100"/>
        <c:noMultiLvlLbl val="0"/>
      </c:catAx>
      <c:valAx>
        <c:axId val="10125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68580</xdr:colOff>
      <xdr:row>22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1688B-05FB-48C3-909F-E6FE0AB4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12</xdr:col>
      <xdr:colOff>510540</xdr:colOff>
      <xdr:row>22</xdr:row>
      <xdr:rowOff>-1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8C3383-FE2E-4A86-8842-42EA052B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68580</xdr:colOff>
      <xdr:row>39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DC7B3-504B-4AAE-8EA8-97AE8F789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12</xdr:col>
      <xdr:colOff>510540</xdr:colOff>
      <xdr:row>39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2D0880-056C-4F9C-AA27-7D8FF3DB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489857</xdr:colOff>
      <xdr:row>55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3A2DF4-16BE-4CA9-B2D2-1D681D79D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12</xdr:col>
      <xdr:colOff>304800</xdr:colOff>
      <xdr:row>55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6A4CEA-947E-4231-A257-B067E0BC9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69B14-8750-4ABD-A0D8-404AF67148D7}" name="CustomerData" displayName="CustomerData" ref="A1:M51" totalsRowShown="0">
  <autoFilter ref="A1:M51" xr:uid="{03469B14-8750-4ABD-A0D8-404AF67148D7}"/>
  <tableColumns count="13">
    <tableColumn id="1" xr3:uid="{45540D8E-D66F-44BC-AD52-E342842C3869}" name="Customer_ID"/>
    <tableColumn id="2" xr3:uid="{2BF3AF58-9689-4FF4-A788-6866244FCF60}" name="Order_ID"/>
    <tableColumn id="3" xr3:uid="{DA884F8B-3CC4-483B-BAEE-374827B65F27}" name="Order_Date" dataDxfId="0"/>
    <tableColumn id="4" xr3:uid="{B7798EE8-771E-4691-B7DC-25CAFF4BC154}" name="Customer_Type"/>
    <tableColumn id="5" xr3:uid="{6EE61E84-654C-4014-98A5-0CA7CC7A0F5C}" name="Age_Group"/>
    <tableColumn id="6" xr3:uid="{FE284DC8-B611-471E-A340-0912AD9D681F}" name="Region"/>
    <tableColumn id="7" xr3:uid="{4F555039-9B1F-42F4-A514-CC4B0919B168}" name="Product_Category"/>
    <tableColumn id="8" xr3:uid="{F125C98C-F470-4AF1-A38B-4A871770E36C}" name="Quantity"/>
    <tableColumn id="9" xr3:uid="{89208869-E721-429A-B47E-EA6F8B58890A}" name="Revenue"/>
    <tableColumn id="10" xr3:uid="{A307A814-E9AC-477F-A536-A6268C15FF13}" name="Cost"/>
    <tableColumn id="11" xr3:uid="{F750F098-A467-4202-97A2-9B12157E0DF6}" name="Profit"/>
    <tableColumn id="12" xr3:uid="{2771CCD4-E6F4-4542-A35C-C472FFE869A3}" name="Payment_Method"/>
    <tableColumn id="13" xr3:uid="{1D7F524C-4CB8-40DB-A5A4-567A46D84334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0F3-6C85-4F60-B75A-CA8355550A64}">
  <dimension ref="A1:M51"/>
  <sheetViews>
    <sheetView zoomScale="55" zoomScaleNormal="55" workbookViewId="0">
      <selection activeCell="G23" sqref="G23"/>
    </sheetView>
  </sheetViews>
  <sheetFormatPr defaultRowHeight="14.4" x14ac:dyDescent="0.3"/>
  <cols>
    <col min="1" max="1" width="13.77734375" customWidth="1"/>
    <col min="2" max="2" width="10.44140625" customWidth="1"/>
    <col min="3" max="3" width="12.5546875" customWidth="1"/>
    <col min="4" max="4" width="16.109375" customWidth="1"/>
    <col min="5" max="5" width="12.33203125" customWidth="1"/>
    <col min="7" max="7" width="18.109375" customWidth="1"/>
    <col min="8" max="9" width="10.21875" customWidth="1"/>
    <col min="12" max="12" width="18.21875" customWidth="1"/>
    <col min="13" max="13" width="17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63</v>
      </c>
      <c r="C2" s="1">
        <v>46027</v>
      </c>
      <c r="D2" t="s">
        <v>115</v>
      </c>
      <c r="E2" t="s">
        <v>114</v>
      </c>
      <c r="F2" t="s">
        <v>119</v>
      </c>
      <c r="G2" t="s">
        <v>123</v>
      </c>
      <c r="H2">
        <v>2</v>
      </c>
      <c r="I2">
        <v>8400</v>
      </c>
      <c r="J2">
        <v>6300</v>
      </c>
      <c r="K2">
        <v>2100</v>
      </c>
      <c r="L2" t="s">
        <v>129</v>
      </c>
      <c r="M2">
        <v>4.2</v>
      </c>
    </row>
    <row r="3" spans="1:13" x14ac:dyDescent="0.3">
      <c r="A3" t="s">
        <v>14</v>
      </c>
      <c r="B3" t="s">
        <v>64</v>
      </c>
      <c r="C3" s="1">
        <v>46030</v>
      </c>
      <c r="D3" t="s">
        <v>115</v>
      </c>
      <c r="E3" t="s">
        <v>116</v>
      </c>
      <c r="F3" t="s">
        <v>120</v>
      </c>
      <c r="G3" t="s">
        <v>124</v>
      </c>
      <c r="H3">
        <v>3</v>
      </c>
      <c r="I3">
        <v>4500</v>
      </c>
      <c r="J3">
        <v>3100</v>
      </c>
      <c r="K3">
        <v>1400</v>
      </c>
      <c r="L3" t="s">
        <v>130</v>
      </c>
      <c r="M3">
        <v>4.5</v>
      </c>
    </row>
    <row r="4" spans="1:13" x14ac:dyDescent="0.3">
      <c r="A4" t="s">
        <v>15</v>
      </c>
      <c r="B4" t="s">
        <v>65</v>
      </c>
      <c r="C4" s="1">
        <v>46034</v>
      </c>
      <c r="D4" t="s">
        <v>113</v>
      </c>
      <c r="E4" t="s">
        <v>117</v>
      </c>
      <c r="F4" t="s">
        <v>121</v>
      </c>
      <c r="G4" t="s">
        <v>125</v>
      </c>
      <c r="H4">
        <v>4</v>
      </c>
      <c r="I4">
        <v>3600</v>
      </c>
      <c r="J4">
        <v>2400</v>
      </c>
      <c r="K4">
        <v>1200</v>
      </c>
      <c r="L4" t="s">
        <v>131</v>
      </c>
      <c r="M4">
        <v>4</v>
      </c>
    </row>
    <row r="5" spans="1:13" x14ac:dyDescent="0.3">
      <c r="A5" t="s">
        <v>16</v>
      </c>
      <c r="B5" t="s">
        <v>66</v>
      </c>
      <c r="C5" s="1">
        <v>46040</v>
      </c>
      <c r="D5" t="s">
        <v>115</v>
      </c>
      <c r="E5" t="s">
        <v>116</v>
      </c>
      <c r="F5" t="s">
        <v>122</v>
      </c>
      <c r="G5" t="s">
        <v>126</v>
      </c>
      <c r="H5">
        <v>2</v>
      </c>
      <c r="I5">
        <v>2800</v>
      </c>
      <c r="J5">
        <v>1900</v>
      </c>
      <c r="K5">
        <v>900</v>
      </c>
      <c r="L5" t="s">
        <v>132</v>
      </c>
      <c r="M5">
        <v>3.8</v>
      </c>
    </row>
    <row r="6" spans="1:13" x14ac:dyDescent="0.3">
      <c r="A6" t="s">
        <v>17</v>
      </c>
      <c r="B6" t="s">
        <v>67</v>
      </c>
      <c r="C6" s="1">
        <v>46045</v>
      </c>
      <c r="D6" t="s">
        <v>113</v>
      </c>
      <c r="E6" t="s">
        <v>118</v>
      </c>
      <c r="F6" t="s">
        <v>119</v>
      </c>
      <c r="G6" t="s">
        <v>123</v>
      </c>
      <c r="H6">
        <v>1</v>
      </c>
      <c r="I6">
        <v>6200</v>
      </c>
      <c r="J6">
        <v>4700</v>
      </c>
      <c r="K6">
        <v>1500</v>
      </c>
      <c r="L6" t="s">
        <v>130</v>
      </c>
      <c r="M6">
        <v>4.7</v>
      </c>
    </row>
    <row r="7" spans="1:13" x14ac:dyDescent="0.3">
      <c r="A7" t="s">
        <v>18</v>
      </c>
      <c r="B7" t="s">
        <v>68</v>
      </c>
      <c r="C7" s="1">
        <v>46051</v>
      </c>
      <c r="D7" t="s">
        <v>115</v>
      </c>
      <c r="E7" t="s">
        <v>114</v>
      </c>
      <c r="F7" t="s">
        <v>120</v>
      </c>
      <c r="G7" t="s">
        <v>127</v>
      </c>
      <c r="H7">
        <v>5</v>
      </c>
      <c r="I7">
        <v>4250</v>
      </c>
      <c r="J7">
        <v>2900</v>
      </c>
      <c r="K7">
        <v>1350</v>
      </c>
      <c r="L7" t="s">
        <v>129</v>
      </c>
      <c r="M7">
        <v>4.0999999999999996</v>
      </c>
    </row>
    <row r="8" spans="1:13" x14ac:dyDescent="0.3">
      <c r="A8" t="s">
        <v>19</v>
      </c>
      <c r="B8" t="s">
        <v>69</v>
      </c>
      <c r="C8" s="1">
        <v>46056</v>
      </c>
      <c r="D8" t="s">
        <v>113</v>
      </c>
      <c r="E8" t="s">
        <v>116</v>
      </c>
      <c r="F8" t="s">
        <v>121</v>
      </c>
      <c r="G8" t="s">
        <v>124</v>
      </c>
      <c r="H8">
        <v>2</v>
      </c>
      <c r="I8">
        <v>5200</v>
      </c>
      <c r="J8">
        <v>3500</v>
      </c>
      <c r="K8">
        <v>1700</v>
      </c>
      <c r="L8" t="s">
        <v>129</v>
      </c>
      <c r="M8">
        <v>4.5999999999999996</v>
      </c>
    </row>
    <row r="9" spans="1:13" x14ac:dyDescent="0.3">
      <c r="A9" t="s">
        <v>20</v>
      </c>
      <c r="B9" t="s">
        <v>70</v>
      </c>
      <c r="C9" s="1">
        <v>46062</v>
      </c>
      <c r="D9" t="s">
        <v>115</v>
      </c>
      <c r="E9" t="s">
        <v>117</v>
      </c>
      <c r="F9" t="s">
        <v>122</v>
      </c>
      <c r="G9" t="s">
        <v>123</v>
      </c>
      <c r="H9">
        <v>1</v>
      </c>
      <c r="I9">
        <v>4800</v>
      </c>
      <c r="J9">
        <v>3600</v>
      </c>
      <c r="K9">
        <v>1200</v>
      </c>
      <c r="L9" t="s">
        <v>132</v>
      </c>
      <c r="M9">
        <v>3.9</v>
      </c>
    </row>
    <row r="10" spans="1:13" x14ac:dyDescent="0.3">
      <c r="A10" t="s">
        <v>21</v>
      </c>
      <c r="B10" t="s">
        <v>71</v>
      </c>
      <c r="C10" s="1">
        <v>46067</v>
      </c>
      <c r="D10" t="s">
        <v>113</v>
      </c>
      <c r="E10" t="s">
        <v>116</v>
      </c>
      <c r="F10" t="s">
        <v>119</v>
      </c>
      <c r="G10" t="s">
        <v>126</v>
      </c>
      <c r="H10">
        <v>4</v>
      </c>
      <c r="I10">
        <v>4400</v>
      </c>
      <c r="J10">
        <v>3000</v>
      </c>
      <c r="K10">
        <v>1400</v>
      </c>
      <c r="L10" t="s">
        <v>129</v>
      </c>
      <c r="M10">
        <v>4.3</v>
      </c>
    </row>
    <row r="11" spans="1:13" x14ac:dyDescent="0.3">
      <c r="A11" t="s">
        <v>22</v>
      </c>
      <c r="B11" t="s">
        <v>72</v>
      </c>
      <c r="C11" s="1">
        <v>46073</v>
      </c>
      <c r="D11" t="s">
        <v>115</v>
      </c>
      <c r="E11" t="s">
        <v>118</v>
      </c>
      <c r="F11" t="s">
        <v>120</v>
      </c>
      <c r="G11" t="s">
        <v>124</v>
      </c>
      <c r="H11">
        <v>3</v>
      </c>
      <c r="I11">
        <v>6900</v>
      </c>
      <c r="J11">
        <v>4800</v>
      </c>
      <c r="K11">
        <v>2100</v>
      </c>
      <c r="L11" t="s">
        <v>130</v>
      </c>
      <c r="M11">
        <v>4.8</v>
      </c>
    </row>
    <row r="12" spans="1:13" x14ac:dyDescent="0.3">
      <c r="A12" t="s">
        <v>23</v>
      </c>
      <c r="B12" t="s">
        <v>73</v>
      </c>
      <c r="C12" s="1">
        <v>46078</v>
      </c>
      <c r="D12" t="s">
        <v>115</v>
      </c>
      <c r="E12" t="s">
        <v>114</v>
      </c>
      <c r="F12" t="s">
        <v>121</v>
      </c>
      <c r="G12" t="s">
        <v>123</v>
      </c>
      <c r="H12">
        <v>2</v>
      </c>
      <c r="I12">
        <v>7600</v>
      </c>
      <c r="J12">
        <v>5900</v>
      </c>
      <c r="K12">
        <v>1700</v>
      </c>
      <c r="L12" t="s">
        <v>129</v>
      </c>
      <c r="M12">
        <v>4</v>
      </c>
    </row>
    <row r="13" spans="1:13" x14ac:dyDescent="0.3">
      <c r="A13" t="s">
        <v>24</v>
      </c>
      <c r="B13" t="s">
        <v>74</v>
      </c>
      <c r="C13" s="1">
        <v>46081</v>
      </c>
      <c r="D13" t="s">
        <v>113</v>
      </c>
      <c r="E13" t="s">
        <v>117</v>
      </c>
      <c r="F13" t="s">
        <v>122</v>
      </c>
      <c r="G13" t="s">
        <v>127</v>
      </c>
      <c r="H13">
        <v>3</v>
      </c>
      <c r="I13">
        <v>2700</v>
      </c>
      <c r="J13">
        <v>1750</v>
      </c>
      <c r="K13">
        <v>950</v>
      </c>
      <c r="L13" t="s">
        <v>133</v>
      </c>
      <c r="M13">
        <v>3.7</v>
      </c>
    </row>
    <row r="14" spans="1:13" x14ac:dyDescent="0.3">
      <c r="A14" t="s">
        <v>25</v>
      </c>
      <c r="B14" t="s">
        <v>75</v>
      </c>
      <c r="C14" s="1">
        <v>46085</v>
      </c>
      <c r="D14" t="s">
        <v>113</v>
      </c>
      <c r="E14" t="s">
        <v>116</v>
      </c>
      <c r="F14" t="s">
        <v>119</v>
      </c>
      <c r="G14" t="s">
        <v>123</v>
      </c>
      <c r="H14">
        <v>2</v>
      </c>
      <c r="I14">
        <v>9200</v>
      </c>
      <c r="J14">
        <v>6800</v>
      </c>
      <c r="K14">
        <v>2400</v>
      </c>
      <c r="L14" t="s">
        <v>130</v>
      </c>
      <c r="M14">
        <v>4.5999999999999996</v>
      </c>
    </row>
    <row r="15" spans="1:13" x14ac:dyDescent="0.3">
      <c r="A15" t="s">
        <v>26</v>
      </c>
      <c r="B15" t="s">
        <v>76</v>
      </c>
      <c r="C15" s="1">
        <v>46091</v>
      </c>
      <c r="D15" t="s">
        <v>115</v>
      </c>
      <c r="E15" t="s">
        <v>117</v>
      </c>
      <c r="F15" t="s">
        <v>120</v>
      </c>
      <c r="G15" t="s">
        <v>124</v>
      </c>
      <c r="H15">
        <v>4</v>
      </c>
      <c r="I15">
        <v>7200</v>
      </c>
      <c r="J15">
        <v>5000</v>
      </c>
      <c r="K15">
        <v>2200</v>
      </c>
      <c r="L15" t="s">
        <v>129</v>
      </c>
      <c r="M15">
        <v>4.4000000000000004</v>
      </c>
    </row>
    <row r="16" spans="1:13" x14ac:dyDescent="0.3">
      <c r="A16" t="s">
        <v>27</v>
      </c>
      <c r="B16" t="s">
        <v>77</v>
      </c>
      <c r="C16" s="1">
        <v>46096</v>
      </c>
      <c r="D16" t="s">
        <v>113</v>
      </c>
      <c r="E16" t="s">
        <v>118</v>
      </c>
      <c r="F16" t="s">
        <v>121</v>
      </c>
      <c r="G16" t="s">
        <v>126</v>
      </c>
      <c r="H16">
        <v>3</v>
      </c>
      <c r="I16">
        <v>5100</v>
      </c>
      <c r="J16">
        <v>3500</v>
      </c>
      <c r="K16">
        <v>1600</v>
      </c>
      <c r="L16" t="s">
        <v>132</v>
      </c>
      <c r="M16">
        <v>4.0999999999999996</v>
      </c>
    </row>
    <row r="17" spans="1:13" x14ac:dyDescent="0.3">
      <c r="A17" t="s">
        <v>28</v>
      </c>
      <c r="B17" t="s">
        <v>78</v>
      </c>
      <c r="C17" s="1">
        <v>46102</v>
      </c>
      <c r="D17" t="s">
        <v>115</v>
      </c>
      <c r="E17" t="s">
        <v>114</v>
      </c>
      <c r="F17" t="s">
        <v>122</v>
      </c>
      <c r="G17" t="s">
        <v>127</v>
      </c>
      <c r="H17">
        <v>5</v>
      </c>
      <c r="I17">
        <v>4750</v>
      </c>
      <c r="J17">
        <v>3200</v>
      </c>
      <c r="K17">
        <v>1550</v>
      </c>
      <c r="L17" t="s">
        <v>129</v>
      </c>
      <c r="M17">
        <v>4.5</v>
      </c>
    </row>
    <row r="18" spans="1:13" x14ac:dyDescent="0.3">
      <c r="A18" t="s">
        <v>29</v>
      </c>
      <c r="B18" t="s">
        <v>79</v>
      </c>
      <c r="C18" s="1">
        <v>46108</v>
      </c>
      <c r="D18" t="s">
        <v>113</v>
      </c>
      <c r="E18" t="s">
        <v>116</v>
      </c>
      <c r="F18" t="s">
        <v>119</v>
      </c>
      <c r="G18" t="s">
        <v>124</v>
      </c>
      <c r="H18">
        <v>2</v>
      </c>
      <c r="I18">
        <v>3800</v>
      </c>
      <c r="J18">
        <v>2600</v>
      </c>
      <c r="K18">
        <v>1200</v>
      </c>
      <c r="L18" t="s">
        <v>130</v>
      </c>
      <c r="M18">
        <v>4</v>
      </c>
    </row>
    <row r="19" spans="1:13" x14ac:dyDescent="0.3">
      <c r="A19" t="s">
        <v>30</v>
      </c>
      <c r="B19" t="s">
        <v>80</v>
      </c>
      <c r="C19" s="1">
        <v>46112</v>
      </c>
      <c r="D19" t="s">
        <v>115</v>
      </c>
      <c r="E19" t="s">
        <v>117</v>
      </c>
      <c r="F19" t="s">
        <v>120</v>
      </c>
      <c r="G19" t="s">
        <v>123</v>
      </c>
      <c r="H19">
        <v>3</v>
      </c>
      <c r="I19">
        <v>13500</v>
      </c>
      <c r="J19">
        <v>10100</v>
      </c>
      <c r="K19">
        <v>3400</v>
      </c>
      <c r="L19" t="s">
        <v>129</v>
      </c>
      <c r="M19">
        <v>4.8</v>
      </c>
    </row>
    <row r="20" spans="1:13" x14ac:dyDescent="0.3">
      <c r="A20" t="s">
        <v>31</v>
      </c>
      <c r="B20" t="s">
        <v>81</v>
      </c>
      <c r="C20" s="1">
        <v>46117</v>
      </c>
      <c r="D20" t="s">
        <v>113</v>
      </c>
      <c r="E20" t="s">
        <v>118</v>
      </c>
      <c r="F20" t="s">
        <v>121</v>
      </c>
      <c r="G20" t="s">
        <v>127</v>
      </c>
      <c r="H20">
        <v>4</v>
      </c>
      <c r="I20">
        <v>4200</v>
      </c>
      <c r="J20">
        <v>2800</v>
      </c>
      <c r="K20">
        <v>1400</v>
      </c>
      <c r="L20" t="s">
        <v>133</v>
      </c>
      <c r="M20">
        <v>3.9</v>
      </c>
    </row>
    <row r="21" spans="1:13" x14ac:dyDescent="0.3">
      <c r="A21" t="s">
        <v>32</v>
      </c>
      <c r="B21" t="s">
        <v>82</v>
      </c>
      <c r="C21" s="1">
        <v>46123</v>
      </c>
      <c r="D21" t="s">
        <v>115</v>
      </c>
      <c r="E21" t="s">
        <v>116</v>
      </c>
      <c r="F21" t="s">
        <v>122</v>
      </c>
      <c r="G21" t="s">
        <v>126</v>
      </c>
      <c r="H21">
        <v>5</v>
      </c>
      <c r="I21">
        <v>5750</v>
      </c>
      <c r="J21">
        <v>4000</v>
      </c>
      <c r="K21">
        <v>1750</v>
      </c>
      <c r="L21" t="s">
        <v>129</v>
      </c>
      <c r="M21">
        <v>4.2</v>
      </c>
    </row>
    <row r="22" spans="1:13" x14ac:dyDescent="0.3">
      <c r="A22" t="s">
        <v>33</v>
      </c>
      <c r="B22" t="s">
        <v>83</v>
      </c>
      <c r="C22" s="1">
        <v>46129</v>
      </c>
      <c r="D22" t="s">
        <v>113</v>
      </c>
      <c r="E22" t="s">
        <v>114</v>
      </c>
      <c r="F22" t="s">
        <v>119</v>
      </c>
      <c r="G22" t="s">
        <v>123</v>
      </c>
      <c r="H22">
        <v>1</v>
      </c>
      <c r="I22">
        <v>3900</v>
      </c>
      <c r="J22">
        <v>3000</v>
      </c>
      <c r="K22">
        <v>900</v>
      </c>
      <c r="L22" t="s">
        <v>132</v>
      </c>
      <c r="M22">
        <v>3.6</v>
      </c>
    </row>
    <row r="23" spans="1:13" x14ac:dyDescent="0.3">
      <c r="A23" t="s">
        <v>34</v>
      </c>
      <c r="B23" t="s">
        <v>84</v>
      </c>
      <c r="C23" s="1">
        <v>46134</v>
      </c>
      <c r="D23" t="s">
        <v>115</v>
      </c>
      <c r="E23" t="s">
        <v>117</v>
      </c>
      <c r="F23" t="s">
        <v>120</v>
      </c>
      <c r="G23" t="s">
        <v>124</v>
      </c>
      <c r="H23">
        <v>2</v>
      </c>
      <c r="I23">
        <v>4600</v>
      </c>
      <c r="J23">
        <v>3200</v>
      </c>
      <c r="K23">
        <v>1400</v>
      </c>
      <c r="L23" t="s">
        <v>130</v>
      </c>
      <c r="M23">
        <v>4.4000000000000004</v>
      </c>
    </row>
    <row r="24" spans="1:13" x14ac:dyDescent="0.3">
      <c r="A24" t="s">
        <v>35</v>
      </c>
      <c r="B24" t="s">
        <v>85</v>
      </c>
      <c r="C24" s="1">
        <v>46140</v>
      </c>
      <c r="D24" t="s">
        <v>113</v>
      </c>
      <c r="E24" t="s">
        <v>116</v>
      </c>
      <c r="F24" t="s">
        <v>121</v>
      </c>
      <c r="G24" t="s">
        <v>123</v>
      </c>
      <c r="H24">
        <v>2</v>
      </c>
      <c r="I24">
        <v>8800</v>
      </c>
      <c r="J24">
        <v>6500</v>
      </c>
      <c r="K24">
        <v>2300</v>
      </c>
      <c r="L24" t="s">
        <v>129</v>
      </c>
      <c r="M24">
        <v>4.7</v>
      </c>
    </row>
    <row r="25" spans="1:13" x14ac:dyDescent="0.3">
      <c r="A25" t="s">
        <v>36</v>
      </c>
      <c r="B25" t="s">
        <v>86</v>
      </c>
      <c r="C25" s="1">
        <v>46145</v>
      </c>
      <c r="D25" t="s">
        <v>115</v>
      </c>
      <c r="E25" t="s">
        <v>118</v>
      </c>
      <c r="F25" t="s">
        <v>122</v>
      </c>
      <c r="G25" t="s">
        <v>127</v>
      </c>
      <c r="H25">
        <v>3</v>
      </c>
      <c r="I25">
        <v>3150</v>
      </c>
      <c r="J25">
        <v>2050</v>
      </c>
      <c r="K25">
        <v>1100</v>
      </c>
      <c r="L25" t="s">
        <v>129</v>
      </c>
      <c r="M25">
        <v>4</v>
      </c>
    </row>
    <row r="26" spans="1:13" x14ac:dyDescent="0.3">
      <c r="A26" t="s">
        <v>37</v>
      </c>
      <c r="B26" t="s">
        <v>87</v>
      </c>
      <c r="C26" s="1">
        <v>46151</v>
      </c>
      <c r="D26" t="s">
        <v>113</v>
      </c>
      <c r="E26" t="s">
        <v>117</v>
      </c>
      <c r="F26" t="s">
        <v>119</v>
      </c>
      <c r="G26" t="s">
        <v>126</v>
      </c>
      <c r="H26">
        <v>4</v>
      </c>
      <c r="I26">
        <v>5200</v>
      </c>
      <c r="J26">
        <v>3500</v>
      </c>
      <c r="K26">
        <v>1700</v>
      </c>
      <c r="L26" t="s">
        <v>130</v>
      </c>
      <c r="M26">
        <v>4.5</v>
      </c>
    </row>
    <row r="27" spans="1:13" x14ac:dyDescent="0.3">
      <c r="A27" t="s">
        <v>38</v>
      </c>
      <c r="B27" t="s">
        <v>88</v>
      </c>
      <c r="C27" s="1">
        <v>46157</v>
      </c>
      <c r="D27" t="s">
        <v>115</v>
      </c>
      <c r="E27" t="s">
        <v>114</v>
      </c>
      <c r="F27" t="s">
        <v>120</v>
      </c>
      <c r="G27" t="s">
        <v>123</v>
      </c>
      <c r="H27">
        <v>2</v>
      </c>
      <c r="I27">
        <v>7400</v>
      </c>
      <c r="J27">
        <v>5600</v>
      </c>
      <c r="K27">
        <v>1800</v>
      </c>
      <c r="L27" t="s">
        <v>129</v>
      </c>
      <c r="M27">
        <v>4.0999999999999996</v>
      </c>
    </row>
    <row r="28" spans="1:13" x14ac:dyDescent="0.3">
      <c r="A28" t="s">
        <v>39</v>
      </c>
      <c r="B28" t="s">
        <v>89</v>
      </c>
      <c r="C28" s="1">
        <v>46162</v>
      </c>
      <c r="D28" t="s">
        <v>113</v>
      </c>
      <c r="E28" t="s">
        <v>116</v>
      </c>
      <c r="F28" t="s">
        <v>121</v>
      </c>
      <c r="G28" t="s">
        <v>124</v>
      </c>
      <c r="H28">
        <v>3</v>
      </c>
      <c r="I28">
        <v>6300</v>
      </c>
      <c r="J28">
        <v>4300</v>
      </c>
      <c r="K28">
        <v>2000</v>
      </c>
      <c r="L28" t="s">
        <v>132</v>
      </c>
      <c r="M28">
        <v>4.5999999999999996</v>
      </c>
    </row>
    <row r="29" spans="1:13" x14ac:dyDescent="0.3">
      <c r="A29" t="s">
        <v>40</v>
      </c>
      <c r="B29" t="s">
        <v>90</v>
      </c>
      <c r="C29" s="1">
        <v>46168</v>
      </c>
      <c r="D29" t="s">
        <v>115</v>
      </c>
      <c r="E29" t="s">
        <v>117</v>
      </c>
      <c r="F29" t="s">
        <v>122</v>
      </c>
      <c r="G29" t="s">
        <v>126</v>
      </c>
      <c r="H29">
        <v>2</v>
      </c>
      <c r="I29">
        <v>3200</v>
      </c>
      <c r="J29">
        <v>2250</v>
      </c>
      <c r="K29">
        <v>950</v>
      </c>
      <c r="L29" t="s">
        <v>133</v>
      </c>
      <c r="M29">
        <v>3.8</v>
      </c>
    </row>
    <row r="30" spans="1:13" x14ac:dyDescent="0.3">
      <c r="A30" t="s">
        <v>41</v>
      </c>
      <c r="B30" t="s">
        <v>91</v>
      </c>
      <c r="C30" s="1">
        <v>46175</v>
      </c>
      <c r="D30" t="s">
        <v>113</v>
      </c>
      <c r="E30" t="s">
        <v>118</v>
      </c>
      <c r="F30" t="s">
        <v>119</v>
      </c>
      <c r="G30" t="s">
        <v>123</v>
      </c>
      <c r="H30">
        <v>3</v>
      </c>
      <c r="I30">
        <v>11700</v>
      </c>
      <c r="J30">
        <v>8600</v>
      </c>
      <c r="K30">
        <v>3100</v>
      </c>
      <c r="L30" t="s">
        <v>130</v>
      </c>
      <c r="M30">
        <v>4.9000000000000004</v>
      </c>
    </row>
    <row r="31" spans="1:13" x14ac:dyDescent="0.3">
      <c r="A31" t="s">
        <v>42</v>
      </c>
      <c r="B31" t="s">
        <v>92</v>
      </c>
      <c r="C31" s="1">
        <v>46181</v>
      </c>
      <c r="D31" t="s">
        <v>115</v>
      </c>
      <c r="E31" t="s">
        <v>116</v>
      </c>
      <c r="F31" t="s">
        <v>120</v>
      </c>
      <c r="G31" t="s">
        <v>127</v>
      </c>
      <c r="H31">
        <v>4</v>
      </c>
      <c r="I31">
        <v>4400</v>
      </c>
      <c r="J31">
        <v>2950</v>
      </c>
      <c r="K31">
        <v>1450</v>
      </c>
      <c r="L31" t="s">
        <v>129</v>
      </c>
      <c r="M31">
        <v>4.3</v>
      </c>
    </row>
    <row r="32" spans="1:13" x14ac:dyDescent="0.3">
      <c r="A32" t="s">
        <v>43</v>
      </c>
      <c r="B32" t="s">
        <v>93</v>
      </c>
      <c r="C32" s="1">
        <v>46187</v>
      </c>
      <c r="D32" t="s">
        <v>113</v>
      </c>
      <c r="E32" t="s">
        <v>117</v>
      </c>
      <c r="F32" t="s">
        <v>121</v>
      </c>
      <c r="G32" t="s">
        <v>124</v>
      </c>
      <c r="H32">
        <v>2</v>
      </c>
      <c r="I32">
        <v>4100</v>
      </c>
      <c r="J32">
        <v>2800</v>
      </c>
      <c r="K32">
        <v>1300</v>
      </c>
      <c r="L32" t="s">
        <v>129</v>
      </c>
      <c r="M32">
        <v>4</v>
      </c>
    </row>
    <row r="33" spans="1:13" x14ac:dyDescent="0.3">
      <c r="A33" t="s">
        <v>44</v>
      </c>
      <c r="B33" t="s">
        <v>94</v>
      </c>
      <c r="C33" s="1">
        <v>46193</v>
      </c>
      <c r="D33" t="s">
        <v>115</v>
      </c>
      <c r="E33" t="s">
        <v>114</v>
      </c>
      <c r="F33" t="s">
        <v>122</v>
      </c>
      <c r="G33" t="s">
        <v>123</v>
      </c>
      <c r="H33">
        <v>1</v>
      </c>
      <c r="I33">
        <v>5100</v>
      </c>
      <c r="J33">
        <v>3900</v>
      </c>
      <c r="K33">
        <v>1200</v>
      </c>
      <c r="L33" t="s">
        <v>132</v>
      </c>
      <c r="M33">
        <v>3.9</v>
      </c>
    </row>
    <row r="34" spans="1:13" x14ac:dyDescent="0.3">
      <c r="A34" t="s">
        <v>45</v>
      </c>
      <c r="B34" t="s">
        <v>95</v>
      </c>
      <c r="C34" s="1">
        <v>46199</v>
      </c>
      <c r="D34" t="s">
        <v>113</v>
      </c>
      <c r="E34" t="s">
        <v>116</v>
      </c>
      <c r="F34" t="s">
        <v>119</v>
      </c>
      <c r="G34" t="s">
        <v>126</v>
      </c>
      <c r="H34">
        <v>5</v>
      </c>
      <c r="I34">
        <v>6750</v>
      </c>
      <c r="J34">
        <v>4600</v>
      </c>
      <c r="K34">
        <v>2150</v>
      </c>
      <c r="L34" t="s">
        <v>129</v>
      </c>
      <c r="M34">
        <v>4.5999999999999996</v>
      </c>
    </row>
    <row r="35" spans="1:13" x14ac:dyDescent="0.3">
      <c r="A35" t="s">
        <v>46</v>
      </c>
      <c r="B35" t="s">
        <v>96</v>
      </c>
      <c r="C35" s="1">
        <v>46203</v>
      </c>
      <c r="D35" t="s">
        <v>115</v>
      </c>
      <c r="E35" t="s">
        <v>118</v>
      </c>
      <c r="F35" t="s">
        <v>120</v>
      </c>
      <c r="G35" t="s">
        <v>124</v>
      </c>
      <c r="H35">
        <v>4</v>
      </c>
      <c r="I35">
        <v>8400</v>
      </c>
      <c r="J35">
        <v>5900</v>
      </c>
      <c r="K35">
        <v>2500</v>
      </c>
      <c r="L35" t="s">
        <v>130</v>
      </c>
      <c r="M35">
        <v>4.7</v>
      </c>
    </row>
    <row r="36" spans="1:13" x14ac:dyDescent="0.3">
      <c r="A36" t="s">
        <v>47</v>
      </c>
      <c r="B36" t="s">
        <v>97</v>
      </c>
      <c r="C36" s="1">
        <v>46207</v>
      </c>
      <c r="D36" t="s">
        <v>113</v>
      </c>
      <c r="E36" t="s">
        <v>117</v>
      </c>
      <c r="F36" t="s">
        <v>121</v>
      </c>
      <c r="G36" t="s">
        <v>127</v>
      </c>
      <c r="H36">
        <v>3</v>
      </c>
      <c r="I36">
        <v>3450</v>
      </c>
      <c r="J36">
        <v>2250</v>
      </c>
      <c r="K36">
        <v>1200</v>
      </c>
      <c r="L36" t="s">
        <v>133</v>
      </c>
      <c r="M36">
        <v>4.0999999999999996</v>
      </c>
    </row>
    <row r="37" spans="1:13" x14ac:dyDescent="0.3">
      <c r="A37" t="s">
        <v>48</v>
      </c>
      <c r="B37" t="s">
        <v>98</v>
      </c>
      <c r="C37" s="1">
        <v>46213</v>
      </c>
      <c r="D37" t="s">
        <v>115</v>
      </c>
      <c r="E37" t="s">
        <v>116</v>
      </c>
      <c r="F37" t="s">
        <v>122</v>
      </c>
      <c r="G37" t="s">
        <v>123</v>
      </c>
      <c r="H37">
        <v>2</v>
      </c>
      <c r="I37">
        <v>8600</v>
      </c>
      <c r="J37">
        <v>6500</v>
      </c>
      <c r="K37">
        <v>2100</v>
      </c>
      <c r="L37" t="s">
        <v>129</v>
      </c>
      <c r="M37">
        <v>4.5</v>
      </c>
    </row>
    <row r="38" spans="1:13" x14ac:dyDescent="0.3">
      <c r="A38" t="s">
        <v>49</v>
      </c>
      <c r="B38" t="s">
        <v>99</v>
      </c>
      <c r="C38" s="1">
        <v>46219</v>
      </c>
      <c r="D38" t="s">
        <v>113</v>
      </c>
      <c r="E38" t="s">
        <v>114</v>
      </c>
      <c r="F38" t="s">
        <v>119</v>
      </c>
      <c r="G38" t="s">
        <v>124</v>
      </c>
      <c r="H38">
        <v>3</v>
      </c>
      <c r="I38">
        <v>5700</v>
      </c>
      <c r="J38">
        <v>3900</v>
      </c>
      <c r="K38">
        <v>1800</v>
      </c>
      <c r="L38" t="s">
        <v>132</v>
      </c>
      <c r="M38">
        <v>4.2</v>
      </c>
    </row>
    <row r="39" spans="1:13" x14ac:dyDescent="0.3">
      <c r="A39" t="s">
        <v>50</v>
      </c>
      <c r="B39" t="s">
        <v>100</v>
      </c>
      <c r="C39" s="1">
        <v>46225</v>
      </c>
      <c r="D39" t="s">
        <v>115</v>
      </c>
      <c r="E39" t="s">
        <v>117</v>
      </c>
      <c r="F39" t="s">
        <v>120</v>
      </c>
      <c r="G39" t="s">
        <v>126</v>
      </c>
      <c r="H39">
        <v>4</v>
      </c>
      <c r="I39">
        <v>4800</v>
      </c>
      <c r="J39">
        <v>3300</v>
      </c>
      <c r="K39">
        <v>1500</v>
      </c>
      <c r="L39" t="s">
        <v>129</v>
      </c>
      <c r="M39">
        <v>3.9</v>
      </c>
    </row>
    <row r="40" spans="1:13" x14ac:dyDescent="0.3">
      <c r="A40" t="s">
        <v>51</v>
      </c>
      <c r="B40" t="s">
        <v>101</v>
      </c>
      <c r="C40" s="1">
        <v>46231</v>
      </c>
      <c r="D40" t="s">
        <v>113</v>
      </c>
      <c r="E40" t="s">
        <v>118</v>
      </c>
      <c r="F40" t="s">
        <v>121</v>
      </c>
      <c r="G40" t="s">
        <v>123</v>
      </c>
      <c r="H40">
        <v>2</v>
      </c>
      <c r="I40">
        <v>9800</v>
      </c>
      <c r="J40">
        <v>7200</v>
      </c>
      <c r="K40">
        <v>2600</v>
      </c>
      <c r="L40" t="s">
        <v>130</v>
      </c>
      <c r="M40">
        <v>4.8</v>
      </c>
    </row>
    <row r="41" spans="1:13" x14ac:dyDescent="0.3">
      <c r="A41" t="s">
        <v>52</v>
      </c>
      <c r="B41" t="s">
        <v>102</v>
      </c>
      <c r="C41" s="1">
        <v>46234</v>
      </c>
      <c r="D41" t="s">
        <v>115</v>
      </c>
      <c r="E41" t="s">
        <v>116</v>
      </c>
      <c r="F41" t="s">
        <v>122</v>
      </c>
      <c r="G41" t="s">
        <v>127</v>
      </c>
      <c r="H41">
        <v>5</v>
      </c>
      <c r="I41">
        <v>5250</v>
      </c>
      <c r="J41">
        <v>3500</v>
      </c>
      <c r="K41">
        <v>1750</v>
      </c>
      <c r="L41" t="s">
        <v>129</v>
      </c>
      <c r="M41">
        <v>4.4000000000000004</v>
      </c>
    </row>
    <row r="42" spans="1:13" x14ac:dyDescent="0.3">
      <c r="A42" t="s">
        <v>53</v>
      </c>
      <c r="B42" t="s">
        <v>103</v>
      </c>
      <c r="C42" s="1">
        <v>46239</v>
      </c>
      <c r="D42" t="s">
        <v>113</v>
      </c>
      <c r="E42" t="s">
        <v>117</v>
      </c>
      <c r="F42" t="s">
        <v>119</v>
      </c>
      <c r="G42" t="s">
        <v>124</v>
      </c>
      <c r="H42">
        <v>2</v>
      </c>
      <c r="I42">
        <v>4300</v>
      </c>
      <c r="J42">
        <v>3000</v>
      </c>
      <c r="K42">
        <v>1300</v>
      </c>
      <c r="L42" t="s">
        <v>132</v>
      </c>
      <c r="M42">
        <v>4</v>
      </c>
    </row>
    <row r="43" spans="1:13" x14ac:dyDescent="0.3">
      <c r="A43" t="s">
        <v>54</v>
      </c>
      <c r="B43" t="s">
        <v>104</v>
      </c>
      <c r="C43" s="1">
        <v>46245</v>
      </c>
      <c r="D43" t="s">
        <v>115</v>
      </c>
      <c r="E43" t="s">
        <v>114</v>
      </c>
      <c r="F43" t="s">
        <v>120</v>
      </c>
      <c r="G43" t="s">
        <v>123</v>
      </c>
      <c r="H43">
        <v>3</v>
      </c>
      <c r="I43">
        <v>12600</v>
      </c>
      <c r="J43">
        <v>9400</v>
      </c>
      <c r="K43">
        <v>3200</v>
      </c>
      <c r="L43" t="s">
        <v>130</v>
      </c>
      <c r="M43">
        <v>4.7</v>
      </c>
    </row>
    <row r="44" spans="1:13" x14ac:dyDescent="0.3">
      <c r="A44" t="s">
        <v>55</v>
      </c>
      <c r="B44" t="s">
        <v>105</v>
      </c>
      <c r="C44" s="1">
        <v>46251</v>
      </c>
      <c r="D44" t="s">
        <v>113</v>
      </c>
      <c r="E44" t="s">
        <v>116</v>
      </c>
      <c r="F44" t="s">
        <v>121</v>
      </c>
      <c r="G44" t="s">
        <v>126</v>
      </c>
      <c r="H44">
        <v>3</v>
      </c>
      <c r="I44">
        <v>3900</v>
      </c>
      <c r="J44">
        <v>2700</v>
      </c>
      <c r="K44">
        <v>1200</v>
      </c>
      <c r="L44" t="s">
        <v>129</v>
      </c>
      <c r="M44">
        <v>4.0999999999999996</v>
      </c>
    </row>
    <row r="45" spans="1:13" x14ac:dyDescent="0.3">
      <c r="A45" t="s">
        <v>56</v>
      </c>
      <c r="B45" t="s">
        <v>106</v>
      </c>
      <c r="C45" s="1">
        <v>46257</v>
      </c>
      <c r="D45" t="s">
        <v>115</v>
      </c>
      <c r="E45" t="s">
        <v>118</v>
      </c>
      <c r="F45" t="s">
        <v>122</v>
      </c>
      <c r="G45" t="s">
        <v>124</v>
      </c>
      <c r="H45">
        <v>4</v>
      </c>
      <c r="I45">
        <v>7600</v>
      </c>
      <c r="J45">
        <v>5300</v>
      </c>
      <c r="K45">
        <v>2300</v>
      </c>
      <c r="L45" t="s">
        <v>129</v>
      </c>
      <c r="M45">
        <v>4.5999999999999996</v>
      </c>
    </row>
    <row r="46" spans="1:13" x14ac:dyDescent="0.3">
      <c r="A46" t="s">
        <v>57</v>
      </c>
      <c r="B46" t="s">
        <v>107</v>
      </c>
      <c r="C46" s="1">
        <v>46263</v>
      </c>
      <c r="D46" t="s">
        <v>113</v>
      </c>
      <c r="E46" t="s">
        <v>117</v>
      </c>
      <c r="F46" t="s">
        <v>119</v>
      </c>
      <c r="G46" t="s">
        <v>127</v>
      </c>
      <c r="H46">
        <v>2</v>
      </c>
      <c r="I46">
        <v>2400</v>
      </c>
      <c r="J46">
        <v>1600</v>
      </c>
      <c r="K46">
        <v>800</v>
      </c>
      <c r="L46" t="s">
        <v>133</v>
      </c>
      <c r="M46">
        <v>3.7</v>
      </c>
    </row>
    <row r="47" spans="1:13" x14ac:dyDescent="0.3">
      <c r="A47" t="s">
        <v>58</v>
      </c>
      <c r="B47" t="s">
        <v>108</v>
      </c>
      <c r="C47" s="1">
        <v>46268</v>
      </c>
      <c r="D47" t="s">
        <v>115</v>
      </c>
      <c r="E47" t="s">
        <v>116</v>
      </c>
      <c r="F47" t="s">
        <v>120</v>
      </c>
      <c r="G47" t="s">
        <v>128</v>
      </c>
      <c r="H47">
        <v>2</v>
      </c>
      <c r="I47">
        <v>7900</v>
      </c>
      <c r="J47">
        <v>6000</v>
      </c>
      <c r="K47">
        <v>1900</v>
      </c>
      <c r="L47" t="s">
        <v>129</v>
      </c>
      <c r="M47">
        <v>4.3</v>
      </c>
    </row>
    <row r="48" spans="1:13" x14ac:dyDescent="0.3">
      <c r="A48" t="s">
        <v>59</v>
      </c>
      <c r="B48" t="s">
        <v>109</v>
      </c>
      <c r="C48" s="1">
        <v>46274</v>
      </c>
      <c r="D48" t="s">
        <v>113</v>
      </c>
      <c r="E48" t="s">
        <v>114</v>
      </c>
      <c r="F48" t="s">
        <v>121</v>
      </c>
      <c r="G48" t="s">
        <v>124</v>
      </c>
      <c r="H48">
        <v>3</v>
      </c>
      <c r="I48">
        <v>5100</v>
      </c>
      <c r="J48">
        <v>3500</v>
      </c>
      <c r="K48">
        <v>1600</v>
      </c>
      <c r="L48" t="s">
        <v>130</v>
      </c>
      <c r="M48">
        <v>4.5</v>
      </c>
    </row>
    <row r="49" spans="1:13" x14ac:dyDescent="0.3">
      <c r="A49" t="s">
        <v>60</v>
      </c>
      <c r="B49" t="s">
        <v>110</v>
      </c>
      <c r="C49" s="1">
        <v>46280</v>
      </c>
      <c r="D49" t="s">
        <v>115</v>
      </c>
      <c r="E49" t="s">
        <v>117</v>
      </c>
      <c r="F49" t="s">
        <v>122</v>
      </c>
      <c r="G49" t="s">
        <v>126</v>
      </c>
      <c r="H49">
        <v>5</v>
      </c>
      <c r="I49">
        <v>6250</v>
      </c>
      <c r="J49">
        <v>4300</v>
      </c>
      <c r="K49">
        <v>1950</v>
      </c>
      <c r="L49" t="s">
        <v>132</v>
      </c>
      <c r="M49">
        <v>4</v>
      </c>
    </row>
    <row r="50" spans="1:13" x14ac:dyDescent="0.3">
      <c r="A50" t="s">
        <v>61</v>
      </c>
      <c r="B50" t="s">
        <v>111</v>
      </c>
      <c r="C50" s="1">
        <v>46286</v>
      </c>
      <c r="D50" t="s">
        <v>113</v>
      </c>
      <c r="E50" t="s">
        <v>118</v>
      </c>
      <c r="F50" t="s">
        <v>119</v>
      </c>
      <c r="G50" t="s">
        <v>123</v>
      </c>
      <c r="H50">
        <v>1</v>
      </c>
      <c r="I50">
        <v>4500</v>
      </c>
      <c r="J50">
        <v>3400</v>
      </c>
      <c r="K50">
        <v>1100</v>
      </c>
      <c r="L50" t="s">
        <v>129</v>
      </c>
      <c r="M50">
        <v>4.4000000000000004</v>
      </c>
    </row>
    <row r="51" spans="1:13" x14ac:dyDescent="0.3">
      <c r="A51" t="s">
        <v>62</v>
      </c>
      <c r="B51" t="s">
        <v>112</v>
      </c>
      <c r="C51" s="1">
        <v>46292</v>
      </c>
      <c r="D51" t="s">
        <v>115</v>
      </c>
      <c r="E51" t="s">
        <v>116</v>
      </c>
      <c r="F51" t="s">
        <v>120</v>
      </c>
      <c r="G51" t="s">
        <v>127</v>
      </c>
      <c r="H51">
        <v>4</v>
      </c>
      <c r="I51">
        <v>4600</v>
      </c>
      <c r="J51">
        <v>3100</v>
      </c>
      <c r="K51">
        <v>1500</v>
      </c>
      <c r="L51" t="s">
        <v>130</v>
      </c>
      <c r="M51">
        <v>4.2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0061-AD51-4A70-B0D9-E6B8D46EB716}">
  <dimension ref="A1:B70"/>
  <sheetViews>
    <sheetView topLeftCell="A22" zoomScale="85" zoomScaleNormal="85" workbookViewId="0">
      <selection activeCell="A58" sqref="A58"/>
    </sheetView>
  </sheetViews>
  <sheetFormatPr defaultRowHeight="14.4" x14ac:dyDescent="0.3"/>
  <cols>
    <col min="1" max="1" width="36.5546875" bestFit="1" customWidth="1"/>
    <col min="2" max="2" width="13.5546875" bestFit="1" customWidth="1"/>
  </cols>
  <sheetData>
    <row r="1" spans="1:2" x14ac:dyDescent="0.3">
      <c r="A1" s="4" t="s">
        <v>134</v>
      </c>
    </row>
    <row r="3" spans="1:2" x14ac:dyDescent="0.3">
      <c r="A3" t="s">
        <v>135</v>
      </c>
      <c r="B3">
        <f>COUNTA(CustomerData[Customer_ID])</f>
        <v>50</v>
      </c>
    </row>
    <row r="4" spans="1:2" x14ac:dyDescent="0.3">
      <c r="A4" t="s">
        <v>136</v>
      </c>
      <c r="B4">
        <f>COUNTA(CustomerData[Order_ID])</f>
        <v>50</v>
      </c>
    </row>
    <row r="5" spans="1:2" x14ac:dyDescent="0.3">
      <c r="A5" t="s">
        <v>137</v>
      </c>
      <c r="B5">
        <f>SUM(CustomerData[Revenue])</f>
        <v>294600</v>
      </c>
    </row>
    <row r="6" spans="1:2" x14ac:dyDescent="0.3">
      <c r="A6" t="s">
        <v>138</v>
      </c>
      <c r="B6">
        <f>SUM(CustomerData[Profit])</f>
        <v>84650</v>
      </c>
    </row>
    <row r="7" spans="1:2" x14ac:dyDescent="0.3">
      <c r="A7" t="s">
        <v>139</v>
      </c>
      <c r="B7">
        <f>SUM(CustomerData[Quantity])</f>
        <v>146</v>
      </c>
    </row>
    <row r="8" spans="1:2" x14ac:dyDescent="0.3">
      <c r="A8" t="s">
        <v>140</v>
      </c>
      <c r="B8" s="3">
        <f>B6/B5</f>
        <v>0.28733876442634082</v>
      </c>
    </row>
    <row r="9" spans="1:2" x14ac:dyDescent="0.3">
      <c r="A9" t="s">
        <v>141</v>
      </c>
      <c r="B9">
        <f>AVERAGE(CustomerData[Customer_Rating])</f>
        <v>4.2719999999999994</v>
      </c>
    </row>
    <row r="11" spans="1:2" x14ac:dyDescent="0.3">
      <c r="A11" s="4" t="s">
        <v>142</v>
      </c>
    </row>
    <row r="12" spans="1:2" x14ac:dyDescent="0.3">
      <c r="A12" s="2" t="s">
        <v>143</v>
      </c>
    </row>
    <row r="13" spans="1:2" x14ac:dyDescent="0.3">
      <c r="A13" t="s">
        <v>144</v>
      </c>
      <c r="B13" t="s">
        <v>8</v>
      </c>
    </row>
    <row r="14" spans="1:2" x14ac:dyDescent="0.3">
      <c r="A14" t="s">
        <v>123</v>
      </c>
      <c r="B14">
        <f>SUMIF(CustomerData[Product_Category],A14,CustomerData[Revenue])</f>
        <v>122100</v>
      </c>
    </row>
    <row r="15" spans="1:2" x14ac:dyDescent="0.3">
      <c r="A15" t="s">
        <v>124</v>
      </c>
      <c r="B15">
        <f>SUMIF(CustomerData[Product_Category],A15,CustomerData[Revenue])</f>
        <v>73700</v>
      </c>
    </row>
    <row r="16" spans="1:2" x14ac:dyDescent="0.3">
      <c r="A16" t="s">
        <v>127</v>
      </c>
      <c r="B16">
        <f>SUMIF(CustomerData[Product_Category],A16,CustomerData[Revenue])</f>
        <v>39150</v>
      </c>
    </row>
    <row r="17" spans="1:2" x14ac:dyDescent="0.3">
      <c r="A17" t="s">
        <v>126</v>
      </c>
      <c r="B17">
        <f>SUMIF(CustomerData[Product_Category],A17,CustomerData[Revenue])</f>
        <v>48150</v>
      </c>
    </row>
    <row r="19" spans="1:2" x14ac:dyDescent="0.3">
      <c r="A19" s="2" t="s">
        <v>145</v>
      </c>
      <c r="B19" t="str">
        <f>INDEX(A14:A17,MATCH(MAX(B14:B17),B14:B17,0))</f>
        <v>Electronics</v>
      </c>
    </row>
    <row r="21" spans="1:2" x14ac:dyDescent="0.3">
      <c r="A21" s="4" t="s">
        <v>146</v>
      </c>
    </row>
    <row r="22" spans="1:2" x14ac:dyDescent="0.3">
      <c r="A22" s="2" t="s">
        <v>5</v>
      </c>
      <c r="B22" s="2" t="s">
        <v>8</v>
      </c>
    </row>
    <row r="23" spans="1:2" x14ac:dyDescent="0.3">
      <c r="A23" t="s">
        <v>121</v>
      </c>
      <c r="B23">
        <f>SUMIF(CustomerData[Region],A23,CustomerData[Revenue])</f>
        <v>67150</v>
      </c>
    </row>
    <row r="24" spans="1:2" x14ac:dyDescent="0.3">
      <c r="A24" t="s">
        <v>122</v>
      </c>
      <c r="B24">
        <f>SUMIF(CustomerData[Region],A24,CustomerData[Revenue])</f>
        <v>59950</v>
      </c>
    </row>
    <row r="25" spans="1:2" x14ac:dyDescent="0.3">
      <c r="A25" t="s">
        <v>119</v>
      </c>
      <c r="B25">
        <f>SUMIF(CustomerData[Region],A25,CustomerData[Revenue])</f>
        <v>76450</v>
      </c>
    </row>
    <row r="26" spans="1:2" x14ac:dyDescent="0.3">
      <c r="A26" t="s">
        <v>120</v>
      </c>
      <c r="B26">
        <f>SUMIF(CustomerData[Region],A26,CustomerData[Revenue])</f>
        <v>91050</v>
      </c>
    </row>
    <row r="28" spans="1:2" x14ac:dyDescent="0.3">
      <c r="A28" s="2" t="s">
        <v>147</v>
      </c>
      <c r="B28" t="str">
        <f>INDEX(A23:A26,MATCH(MAX(B23:B26),B23:B26,0))</f>
        <v>West</v>
      </c>
    </row>
    <row r="30" spans="1:2" x14ac:dyDescent="0.3">
      <c r="A30" s="5" t="s">
        <v>148</v>
      </c>
    </row>
    <row r="31" spans="1:2" x14ac:dyDescent="0.3">
      <c r="A31" s="2" t="s">
        <v>144</v>
      </c>
      <c r="B31" s="2" t="s">
        <v>10</v>
      </c>
    </row>
    <row r="32" spans="1:2" x14ac:dyDescent="0.3">
      <c r="A32" t="s">
        <v>123</v>
      </c>
      <c r="B32">
        <f>SUMIF(CustomerData[Product_Category],A32,CustomerData[Profit])</f>
        <v>30600</v>
      </c>
    </row>
    <row r="33" spans="1:2" x14ac:dyDescent="0.3">
      <c r="A33" t="s">
        <v>124</v>
      </c>
      <c r="B33">
        <f>SUMIF(CustomerData[Product_Category],A33,CustomerData[Profit])</f>
        <v>22800</v>
      </c>
    </row>
    <row r="34" spans="1:2" x14ac:dyDescent="0.3">
      <c r="A34" t="s">
        <v>127</v>
      </c>
      <c r="B34">
        <f>SUMIF(CustomerData[Product_Category],A34,CustomerData[Profit])</f>
        <v>13050</v>
      </c>
    </row>
    <row r="35" spans="1:2" x14ac:dyDescent="0.3">
      <c r="A35" t="s">
        <v>126</v>
      </c>
      <c r="B35">
        <f>SUMIF(CustomerData[Product_Category],A35,CustomerData[Profit])</f>
        <v>15100</v>
      </c>
    </row>
    <row r="37" spans="1:2" x14ac:dyDescent="0.3">
      <c r="A37" s="2" t="s">
        <v>149</v>
      </c>
      <c r="B37" t="str">
        <f>INDEX(A32:A35,MATCH(MAX(B32:B35),B32:B35,0))</f>
        <v>Electronics</v>
      </c>
    </row>
    <row r="39" spans="1:2" x14ac:dyDescent="0.3">
      <c r="A39" s="4" t="s">
        <v>150</v>
      </c>
    </row>
    <row r="40" spans="1:2" x14ac:dyDescent="0.3">
      <c r="A40" s="2" t="s">
        <v>5</v>
      </c>
      <c r="B40" s="2" t="s">
        <v>10</v>
      </c>
    </row>
    <row r="41" spans="1:2" x14ac:dyDescent="0.3">
      <c r="A41" t="s">
        <v>121</v>
      </c>
      <c r="B41">
        <f>SUMIF(CustomerData[Region],A41,CustomerData[Profit])</f>
        <v>19800</v>
      </c>
    </row>
    <row r="42" spans="1:2" x14ac:dyDescent="0.3">
      <c r="A42" t="s">
        <v>122</v>
      </c>
      <c r="B42">
        <f>SUMIF(CustomerData[Region],A42,CustomerData[Profit])</f>
        <v>17700</v>
      </c>
    </row>
    <row r="43" spans="1:2" x14ac:dyDescent="0.3">
      <c r="A43" t="s">
        <v>119</v>
      </c>
      <c r="B43">
        <f>SUMIF(CustomerData[Region],A43,CustomerData[Profit])</f>
        <v>21450</v>
      </c>
    </row>
    <row r="44" spans="1:2" x14ac:dyDescent="0.3">
      <c r="A44" t="s">
        <v>120</v>
      </c>
      <c r="B44">
        <f>SUMIF(CustomerData[Region],A44,CustomerData[Profit])</f>
        <v>25700</v>
      </c>
    </row>
    <row r="46" spans="1:2" x14ac:dyDescent="0.3">
      <c r="A46" s="2" t="s">
        <v>151</v>
      </c>
      <c r="B46" t="str">
        <f>INDEX(A41:A44,MATCH(MAX(B41:B44),B41:B44,0))</f>
        <v>West</v>
      </c>
    </row>
    <row r="48" spans="1:2" x14ac:dyDescent="0.3">
      <c r="A48" s="4" t="s">
        <v>152</v>
      </c>
    </row>
    <row r="49" spans="1:2" x14ac:dyDescent="0.3">
      <c r="A49" s="2" t="s">
        <v>153</v>
      </c>
      <c r="B49" s="2" t="s">
        <v>8</v>
      </c>
    </row>
    <row r="50" spans="1:2" x14ac:dyDescent="0.3">
      <c r="A50" t="s">
        <v>154</v>
      </c>
      <c r="B50">
        <f>SUMIF('Raw Data'!D2:D51,"*New*",'Raw Data'!I2:I51)</f>
        <v>164300</v>
      </c>
    </row>
    <row r="51" spans="1:2" x14ac:dyDescent="0.3">
      <c r="A51" t="s">
        <v>113</v>
      </c>
      <c r="B51">
        <f>SUMIF('Raw Data'!D2:D51,"*Returning*",'Raw Data'!I2:I51)</f>
        <v>130300</v>
      </c>
    </row>
    <row r="53" spans="1:2" x14ac:dyDescent="0.3">
      <c r="A53" s="2" t="s">
        <v>155</v>
      </c>
      <c r="B53" t="str">
        <f>INDEX(A50:A51,MATCH(MAX(B50:B51),B50:B51,0))</f>
        <v>New</v>
      </c>
    </row>
    <row r="55" spans="1:2" x14ac:dyDescent="0.3">
      <c r="A55" s="4" t="s">
        <v>156</v>
      </c>
    </row>
    <row r="56" spans="1:2" x14ac:dyDescent="0.3">
      <c r="A56" s="2" t="s">
        <v>153</v>
      </c>
      <c r="B56" s="2" t="s">
        <v>157</v>
      </c>
    </row>
    <row r="57" spans="1:2" x14ac:dyDescent="0.3">
      <c r="A57" t="s">
        <v>154</v>
      </c>
      <c r="B57" s="6">
        <f>AVERAGEIF('Raw Data'!D2:D51,"*New*",'Raw Data'!M2:M51)</f>
        <v>4.2692307692307701</v>
      </c>
    </row>
    <row r="58" spans="1:2" x14ac:dyDescent="0.3">
      <c r="A58" t="s">
        <v>113</v>
      </c>
      <c r="B58" s="6">
        <f>AVERAGEIF('Raw Data'!D3:D52,"*New*",'Raw Data'!M3:M52)</f>
        <v>4.2720000000000002</v>
      </c>
    </row>
    <row r="60" spans="1:2" x14ac:dyDescent="0.3">
      <c r="A60" s="4" t="s">
        <v>158</v>
      </c>
    </row>
    <row r="61" spans="1:2" x14ac:dyDescent="0.3">
      <c r="A61" s="2" t="s">
        <v>159</v>
      </c>
      <c r="B61" s="2" t="s">
        <v>8</v>
      </c>
    </row>
    <row r="62" spans="1:2" x14ac:dyDescent="0.3">
      <c r="A62" t="s">
        <v>160</v>
      </c>
      <c r="B62">
        <f>SUMPRODUCT((MONTH('Raw Data'!$C$2:$C$51)=1)*('Raw Data'!$I$2:$I$51))</f>
        <v>29750</v>
      </c>
    </row>
    <row r="63" spans="1:2" x14ac:dyDescent="0.3">
      <c r="A63" t="s">
        <v>161</v>
      </c>
      <c r="B63">
        <f>SUMPRODUCT((MONTH('Raw Data'!$C$2:$C$51)=ROW()-61)*('Raw Data'!$I$2:$I$51))</f>
        <v>31600</v>
      </c>
    </row>
    <row r="64" spans="1:2" x14ac:dyDescent="0.3">
      <c r="A64" t="s">
        <v>162</v>
      </c>
      <c r="B64">
        <f>SUMPRODUCT((MONTH('Raw Data'!$C$2:$C$51)=ROW()-61)*('Raw Data'!$I$2:$I$51))</f>
        <v>43550</v>
      </c>
    </row>
    <row r="65" spans="1:2" x14ac:dyDescent="0.3">
      <c r="A65" t="s">
        <v>163</v>
      </c>
      <c r="B65">
        <f>SUMPRODUCT((MONTH('Raw Data'!$C$2:$C$51)=ROW()-61)*('Raw Data'!$I$2:$I$51))</f>
        <v>27250</v>
      </c>
    </row>
    <row r="66" spans="1:2" x14ac:dyDescent="0.3">
      <c r="A66" t="s">
        <v>164</v>
      </c>
      <c r="B66">
        <f>SUMPRODUCT((MONTH('Raw Data'!$C$2:$C$51)=ROW()-61)*('Raw Data'!$I$2:$I$51))</f>
        <v>25250</v>
      </c>
    </row>
    <row r="67" spans="1:2" x14ac:dyDescent="0.3">
      <c r="A67" t="s">
        <v>165</v>
      </c>
      <c r="B67">
        <f>SUMPRODUCT((MONTH('Raw Data'!$C$2:$C$51)=ROW()-61)*('Raw Data'!$I$2:$I$51))</f>
        <v>40450</v>
      </c>
    </row>
    <row r="68" spans="1:2" x14ac:dyDescent="0.3">
      <c r="A68" t="s">
        <v>166</v>
      </c>
      <c r="B68">
        <f>SUMPRODUCT((MONTH('Raw Data'!$C$2:$C$51)=ROW()-61)*('Raw Data'!$I$2:$I$51))</f>
        <v>37600</v>
      </c>
    </row>
    <row r="69" spans="1:2" x14ac:dyDescent="0.3">
      <c r="A69" t="s">
        <v>167</v>
      </c>
      <c r="B69">
        <f>SUMPRODUCT((MONTH('Raw Data'!$C$2:$C$51)=ROW()-61)*('Raw Data'!$I$2:$I$51))</f>
        <v>30800</v>
      </c>
    </row>
    <row r="70" spans="1:2" x14ac:dyDescent="0.3">
      <c r="A70" t="s">
        <v>168</v>
      </c>
      <c r="B70">
        <f>SUMPRODUCT((MONTH('Raw Data'!$C$2:$C$51)=ROW()-61)*('Raw Data'!$I$2:$I$51))</f>
        <v>28350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2EC9-3607-4FC0-BCE4-12BD15B38B2E}">
  <dimension ref="A1:N57"/>
  <sheetViews>
    <sheetView topLeftCell="A34" zoomScale="70" zoomScaleNormal="70" workbookViewId="0">
      <selection activeCell="A58" sqref="A58"/>
    </sheetView>
  </sheetViews>
  <sheetFormatPr defaultRowHeight="14.4" x14ac:dyDescent="0.3"/>
  <cols>
    <col min="1" max="1" width="15.44140625" bestFit="1" customWidth="1"/>
    <col min="2" max="2" width="12" bestFit="1" customWidth="1"/>
    <col min="3" max="3" width="17" bestFit="1" customWidth="1"/>
    <col min="4" max="4" width="15" bestFit="1" customWidth="1"/>
    <col min="5" max="5" width="12.88671875" bestFit="1" customWidth="1"/>
    <col min="9" max="9" width="8.88671875" customWidth="1"/>
  </cols>
  <sheetData>
    <row r="1" spans="1:14" ht="24.6" x14ac:dyDescent="0.4">
      <c r="A1" s="8" t="s">
        <v>169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x14ac:dyDescent="0.3">
      <c r="A3" s="10" t="s">
        <v>135</v>
      </c>
      <c r="B3" s="10" t="s">
        <v>136</v>
      </c>
      <c r="C3" s="10" t="s">
        <v>137</v>
      </c>
      <c r="D3" s="10" t="s">
        <v>138</v>
      </c>
      <c r="E3" s="10" t="s">
        <v>140</v>
      </c>
    </row>
    <row r="4" spans="1:14" ht="18" x14ac:dyDescent="0.35">
      <c r="A4" s="11">
        <f>Analysis!B3</f>
        <v>50</v>
      </c>
      <c r="B4" s="11">
        <f>Analysis!B4</f>
        <v>50</v>
      </c>
      <c r="C4" s="12">
        <f>Analysis!B5</f>
        <v>294600</v>
      </c>
      <c r="D4" s="12">
        <f>Analysis!B6</f>
        <v>84650</v>
      </c>
      <c r="E4" s="13">
        <f>Analysis!B8</f>
        <v>0.28733876442634082</v>
      </c>
    </row>
    <row r="21" spans="1:1" x14ac:dyDescent="0.3">
      <c r="A21" s="2"/>
    </row>
    <row r="39" spans="1:1" x14ac:dyDescent="0.3">
      <c r="A39" s="2"/>
    </row>
    <row r="57" spans="1:1" x14ac:dyDescent="0.3">
      <c r="A57" s="2"/>
    </row>
  </sheetData>
  <mergeCells count="1">
    <mergeCell ref="A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05EA-72BC-480E-941B-594CB79412DB}">
  <dimension ref="A1:B15"/>
  <sheetViews>
    <sheetView tabSelected="1" workbookViewId="0">
      <selection activeCell="A18" sqref="A18"/>
    </sheetView>
  </sheetViews>
  <sheetFormatPr defaultRowHeight="14.4" x14ac:dyDescent="0.3"/>
  <cols>
    <col min="1" max="1" width="55.109375" bestFit="1" customWidth="1"/>
    <col min="2" max="2" width="9.6640625" customWidth="1"/>
    <col min="3" max="3" width="9.77734375" customWidth="1"/>
    <col min="4" max="4" width="9.88671875" customWidth="1"/>
    <col min="5" max="5" width="9.5546875" customWidth="1"/>
    <col min="7" max="7" width="9.5546875" customWidth="1"/>
    <col min="12" max="12" width="11.109375" customWidth="1"/>
    <col min="13" max="13" width="9.44140625" customWidth="1"/>
  </cols>
  <sheetData>
    <row r="1" spans="1:2" ht="23.4" x14ac:dyDescent="0.45">
      <c r="A1" s="14" t="s">
        <v>170</v>
      </c>
      <c r="B1" s="14"/>
    </row>
    <row r="3" spans="1:2" ht="18" x14ac:dyDescent="0.35">
      <c r="A3" s="9" t="s">
        <v>171</v>
      </c>
    </row>
    <row r="4" spans="1:2" x14ac:dyDescent="0.3">
      <c r="A4" s="2" t="s">
        <v>172</v>
      </c>
      <c r="B4" s="2" t="str">
        <f>Analysis!B19</f>
        <v>Electronics</v>
      </c>
    </row>
    <row r="5" spans="1:2" x14ac:dyDescent="0.3">
      <c r="A5" s="2" t="s">
        <v>173</v>
      </c>
      <c r="B5" s="2" t="str">
        <f>Analysis!B37</f>
        <v>Electronics</v>
      </c>
    </row>
    <row r="6" spans="1:2" x14ac:dyDescent="0.3">
      <c r="A6" s="2" t="s">
        <v>174</v>
      </c>
      <c r="B6" s="2" t="str">
        <f>Analysis!B28</f>
        <v>West</v>
      </c>
    </row>
    <row r="7" spans="1:2" x14ac:dyDescent="0.3">
      <c r="A7" s="2" t="s">
        <v>151</v>
      </c>
      <c r="B7" s="2" t="str">
        <f>Analysis!B46</f>
        <v>West</v>
      </c>
    </row>
    <row r="8" spans="1:2" x14ac:dyDescent="0.3">
      <c r="A8" s="2" t="s">
        <v>155</v>
      </c>
      <c r="B8" s="2" t="str">
        <f>Analysis!B53</f>
        <v>New</v>
      </c>
    </row>
    <row r="10" spans="1:2" ht="18" x14ac:dyDescent="0.35">
      <c r="A10" s="9" t="s">
        <v>175</v>
      </c>
    </row>
    <row r="11" spans="1:2" x14ac:dyDescent="0.3">
      <c r="A11" s="2" t="s">
        <v>176</v>
      </c>
    </row>
    <row r="12" spans="1:2" x14ac:dyDescent="0.3">
      <c r="A12" s="2" t="s">
        <v>177</v>
      </c>
    </row>
    <row r="13" spans="1:2" x14ac:dyDescent="0.3">
      <c r="A13" s="2" t="s">
        <v>178</v>
      </c>
    </row>
    <row r="14" spans="1:2" x14ac:dyDescent="0.3">
      <c r="A14" s="2" t="s">
        <v>179</v>
      </c>
    </row>
    <row r="15" spans="1:2" x14ac:dyDescent="0.3">
      <c r="A15" s="2" t="s">
        <v>180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Nag</dc:creator>
  <cp:lastModifiedBy>Ishita Nag</cp:lastModifiedBy>
  <dcterms:created xsi:type="dcterms:W3CDTF">2026-08-31T20:40:03Z</dcterms:created>
  <dcterms:modified xsi:type="dcterms:W3CDTF">2026-09-20T15:06:14Z</dcterms:modified>
</cp:coreProperties>
</file>